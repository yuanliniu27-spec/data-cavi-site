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1751304acd4a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并数据表" sheetId="1" r:id="Rab931451de90492f"/>
    <x:sheet xmlns:r="http://schemas.openxmlformats.org/officeDocument/2006/relationships" name="明细数据表" sheetId="2" r:id="R638844f5d6b346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mm/dd"/>
  </x:numFmts>
  <x:fonts count="4">
    <x:font>
      <x:sz val="11"/>
      <x:name val="Carlito"/>
    </x:font>
    <x:font>
      <x:sz val="10"/>
      <x:color rgb="FF17385E"/>
      <x:name val="Aptos"/>
    </x:font>
    <x:font>
      <x:b/>
      <x:sz val="10"/>
      <x:color rgb="FFFFFFFF"/>
      <x:name val="Aptos"/>
    </x:font>
    <x:font>
      <x:b/>
      <x:sz val="10"/>
      <x:color rgb="FF17385E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23A68"/>
      </x:patternFill>
    </x:fill>
    <x:fill>
      <x:patternFill patternType="solid">
        <x:fgColor rgb="FFEAF2FB"/>
      </x:patternFill>
    </x:fill>
    <x:fill>
      <x:patternFill patternType="solid">
        <x:fgColor rgb="FFE7F6F3"/>
      </x:patternFill>
    </x:fill>
    <x:fill>
      <x:patternFill patternType="solid">
        <x:fgColor rgb="FFFFF3E2"/>
      </x:patternFill>
    </x:fill>
    <x:fill>
      <x:patternFill patternType="solid">
        <x:fgColor rgb="FFF2ECFA"/>
      </x:patternFill>
    </x:fill>
  </x:fills>
  <x:borders count="2">
    <x:border/>
    <x:border>
      <x:left style="thin">
        <x:color rgb="FFD5E1EE"/>
      </x:left>
      <x:right style="thin">
        <x:color rgb="FFD5E1EE"/>
      </x:right>
      <x:top style="thin">
        <x:color rgb="FFD5E1EE"/>
      </x:top>
      <x:bottom style="thin">
        <x:color rgb="FFD5E1EE"/>
      </x:bottom>
    </x:border>
  </x:borders>
  <x:cellStyleXfs count="1">
    <x:xf numFmtId="0" fontId="0" fillId="0" borderId="0"/>
  </x:cellStyleXfs>
  <x:cellXfs count="32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1" xfId="0" applyNumberFormat="1" applyFont="1" applyFill="1" applyBorder="1"/>
    <x:xf numFmtId="201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horizontal="lef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2" fontId="2" fillId="2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left" vertical="center"/>
    </x:xf>
    <x:xf numFmtId="201" fontId="1" fillId="3" borderId="1" xfId="0" applyNumberFormat="1" applyFont="1" applyFill="1" applyBorder="1" applyAlignment="1">
      <x:alignment horizontal="right" vertical="center"/>
    </x:xf>
    <x:xf numFmtId="200" fontId="1" fillId="3" borderId="1" xfId="0" applyNumberFormat="1" applyFont="1" applyFill="1" applyBorder="1" applyAlignment="1">
      <x:alignment horizontal="right" vertical="center"/>
    </x:xf>
    <x:xf numFmtId="0" fontId="3" fillId="4" borderId="1" xfId="0" applyNumberFormat="1" applyFont="1" applyFill="1" applyBorder="1" applyAlignment="1">
      <x:alignment horizontal="left" vertical="center"/>
    </x:xf>
    <x:xf numFmtId="201" fontId="1" fillId="4" borderId="1" xfId="0" applyNumberFormat="1" applyFont="1" applyFill="1" applyBorder="1" applyAlignment="1">
      <x:alignment horizontal="right" vertical="center"/>
    </x:xf>
    <x:xf numFmtId="200" fontId="1" fillId="4" borderId="1" xfId="0" applyNumberFormat="1" applyFont="1" applyFill="1" applyBorder="1" applyAlignment="1">
      <x:alignment horizontal="right" vertical="center"/>
    </x:xf>
    <x:xf numFmtId="0" fontId="3" fillId="5" borderId="1" xfId="0" applyNumberFormat="1" applyFont="1" applyFill="1" applyBorder="1" applyAlignment="1">
      <x:alignment horizontal="left" vertical="center"/>
    </x:xf>
    <x:xf numFmtId="201" fontId="1" fillId="5" borderId="1" xfId="0" applyNumberFormat="1" applyFont="1" applyFill="1" applyBorder="1" applyAlignment="1">
      <x:alignment horizontal="right" vertical="center"/>
    </x:xf>
    <x:xf numFmtId="200" fontId="1" fillId="5" borderId="1" xfId="0" applyNumberFormat="1" applyFont="1" applyFill="1" applyBorder="1" applyAlignment="1">
      <x:alignment horizontal="right" vertical="center"/>
    </x:xf>
    <x:xf numFmtId="0" fontId="3" fillId="6" borderId="1" xfId="0" applyNumberFormat="1" applyFont="1" applyFill="1" applyBorder="1" applyAlignment="1">
      <x:alignment horizontal="left" vertical="center"/>
    </x:xf>
    <x:xf numFmtId="201" fontId="1" fillId="6" borderId="1" xfId="0" applyNumberFormat="1" applyFont="1" applyFill="1" applyBorder="1" applyAlignment="1">
      <x:alignment horizontal="right" vertical="center"/>
    </x:xf>
    <x:xf numFmtId="200" fontId="1" fillId="6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278871ac9b4a39" /><Relationship Type="http://schemas.openxmlformats.org/officeDocument/2006/relationships/theme" Target="/xl/theme/theme1.xml" Id="R1978492c9d5c474f" /><Relationship Type="http://schemas.openxmlformats.org/officeDocument/2006/relationships/sharedStrings" Target="/xl/sharedStrings.xml" Id="Raaf6350407da47b6" /><Relationship Type="http://schemas.openxmlformats.org/officeDocument/2006/relationships/worksheet" Target="/xl/worksheets/sheet1.xml" Id="Rab931451de90492f" /><Relationship Type="http://schemas.openxmlformats.org/officeDocument/2006/relationships/worksheet" Target="/xl/worksheets/sheet2.xml" Id="R638844f5d6b346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30" customHeight="1">
      <x:c r="A1" s="14" t="str">
        <x:v>Date</x:v>
      </x:c>
      <x:c r="B1" s="19" t="n">
        <x:v>46216</x:v>
      </x:c>
      <x:c r="C1" s="19" t="n">
        <x:v>46217</x:v>
      </x:c>
      <x:c r="D1" s="19" t="n">
        <x:v>46218</x:v>
      </x:c>
      <x:c r="E1" s="19" t="n">
        <x:v>46219</x:v>
      </x:c>
      <x:c r="F1" s="19" t="n">
        <x:v>46220</x:v>
      </x:c>
      <x:c r="G1" s="19" t="n">
        <x:v>46221</x:v>
      </x:c>
      <x:c r="H1" s="19" t="n">
        <x:v>46222</x:v>
      </x:c>
      <x:c r="I1" s="19" t="n">
        <x:v>46223</x:v>
      </x:c>
      <x:c r="J1" s="19" t="n">
        <x:v>46224</x:v>
      </x:c>
      <x:c r="K1" s="19" t="n">
        <x:v>46225</x:v>
      </x:c>
      <x:c r="L1" s="19" t="n">
        <x:v>46226</x:v>
      </x:c>
      <x:c r="M1" s="19" t="n">
        <x:v>46227</x:v>
      </x:c>
      <x:c r="N1" s="19" t="n">
        <x:v>46228</x:v>
      </x:c>
      <x:c r="O1" s="19" t="n">
        <x:v>46229</x:v>
      </x:c>
    </x:row>
    <x:row r="2" ht="24" customHeight="1">
      <x:c r="A2" s="20" t="str">
        <x:v>网站整体用户数</x:v>
      </x:c>
      <x:c r="B2" s="21" t="n">
        <x:v>7918</x:v>
      </x:c>
      <x:c r="C2" s="21" t="n">
        <x:v>7298</x:v>
      </x:c>
      <x:c r="D2" s="21" t="n">
        <x:v>6646</x:v>
      </x:c>
      <x:c r="E2" s="21" t="n">
        <x:v>5549</x:v>
      </x:c>
      <x:c r="F2" s="21" t="n">
        <x:v>5282</x:v>
      </x:c>
      <x:c r="G2" s="21" t="n">
        <x:v>5656</x:v>
      </x:c>
      <x:c r="H2" s="21" t="n">
        <x:v>6685</x:v>
      </x:c>
      <x:c r="I2" s="21" t="n">
        <x:v>6376</x:v>
      </x:c>
      <x:c r="J2" s="21" t="n">
        <x:v>6020</x:v>
      </x:c>
      <x:c r="K2" s="21" t="n">
        <x:v>5642</x:v>
      </x:c>
      <x:c r="L2" s="21" t="n">
        <x:v>5813</x:v>
      </x:c>
      <x:c r="M2" s="21" t="n">
        <x:v>5425</x:v>
      </x:c>
      <x:c r="N2" s="21" t="n">
        <x:v>6001</x:v>
      </x:c>
      <x:c r="O2" s="21" t="n">
        <x:v>7931</x:v>
      </x:c>
    </x:row>
    <x:row r="3" ht="24" customHeight="1">
      <x:c r="A3" s="20" t="str">
        <x:v>使用AI用户数</x:v>
      </x:c>
      <x:c r="B3" s="21" t="n">
        <x:v>597</x:v>
      </x:c>
      <x:c r="C3" s="21" t="n">
        <x:v>597</x:v>
      </x:c>
      <x:c r="D3" s="21" t="n">
        <x:v>585</x:v>
      </x:c>
      <x:c r="E3" s="21" t="n">
        <x:v>627</x:v>
      </x:c>
      <x:c r="F3" s="21" t="n">
        <x:v>571</x:v>
      </x:c>
      <x:c r="G3" s="21" t="n">
        <x:v>646</x:v>
      </x:c>
      <x:c r="H3" s="21" t="n">
        <x:v>757</x:v>
      </x:c>
      <x:c r="I3" s="21" t="n">
        <x:v>682</x:v>
      </x:c>
      <x:c r="J3" s="21" t="n">
        <x:v>614</x:v>
      </x:c>
      <x:c r="K3" s="21" t="n">
        <x:v>633</x:v>
      </x:c>
      <x:c r="L3" s="21" t="n">
        <x:v>615</x:v>
      </x:c>
      <x:c r="M3" s="21" t="n">
        <x:v>618</x:v>
      </x:c>
      <x:c r="N3" s="21" t="n">
        <x:v>620</x:v>
      </x:c>
      <x:c r="O3" s="21" t="n">
        <x:v>879</x:v>
      </x:c>
    </x:row>
    <x:row r="4" ht="24" customHeight="1">
      <x:c r="A4" s="20" t="str">
        <x:v>AI渗透率</x:v>
      </x:c>
      <x:c r="B4" s="22" t="n">
        <x:f>IF(B2=0,"",B3/B2)</x:f>
        <x:v>0.07539782773427633</x:v>
      </x:c>
      <x:c r="C4" s="22" t="n">
        <x:f>IF(C2=0,"",C3/C2)</x:f>
        <x:v>0.0818032337626747</x:v>
      </x:c>
      <x:c r="D4" s="22" t="n">
        <x:f>IF(D2=0,"",D3/D2)</x:f>
        <x:v>0.08802287089978934</x:v>
      </x:c>
      <x:c r="E4" s="22" t="n">
        <x:f>IF(E2=0,"",E3/E2)</x:f>
        <x:v>0.11299333213191566</x:v>
      </x:c>
      <x:c r="F4" s="22" t="n">
        <x:f>IF(F2=0,"",F3/F2)</x:f>
        <x:v>0.10810299129117758</x:v>
      </x:c>
      <x:c r="G4" s="22" t="n">
        <x:f>IF(G2=0,"",G3/G2)</x:f>
        <x:v>0.11421499292786422</x:v>
      </x:c>
      <x:c r="H4" s="22" t="n">
        <x:f>IF(H2=0,"",H3/H2)</x:f>
        <x:v>0.11323859386686612</x:v>
      </x:c>
      <x:c r="I4" s="22" t="n">
        <x:f>IF(I2=0,"",I3/I2)</x:f>
        <x:v>0.10696361355081556</x:v>
      </x:c>
      <x:c r="J4" s="22" t="n">
        <x:f>IF(J2=0,"",J3/J2)</x:f>
        <x:v>0.10199335548172757</x:v>
      </x:c>
      <x:c r="K4" s="22" t="n">
        <x:f>IF(K2=0,"",K3/K2)</x:f>
        <x:v>0.11219425735554768</x:v>
      </x:c>
      <x:c r="L4" s="22" t="n">
        <x:f>IF(L2=0,"",L3/L2)</x:f>
        <x:v>0.10579735076552554</x:v>
      </x:c>
      <x:c r="M4" s="22" t="n">
        <x:f>IF(M2=0,"",M3/M2)</x:f>
        <x:v>0.11391705069124423</x:v>
      </x:c>
      <x:c r="N4" s="22" t="n">
        <x:f>IF(N2=0,"",N3/N2)</x:f>
        <x:v>0.10331611398100317</x:v>
      </x:c>
      <x:c r="O4" s="22" t="n">
        <x:f>IF(O2=0,"",O3/O2)</x:f>
        <x:v>0.11083091665615938</x:v>
      </x:c>
    </x:row>
    <x:row r="5" ht="24" customHeight="1">
      <x:c r="A5" s="23" t="str">
        <x:v>推荐产品卡片曝光数</x:v>
      </x:c>
      <x:c r="B5" s="24" t="n">
        <x:v>419</x:v>
      </x:c>
      <x:c r="C5" s="24" t="n">
        <x:v>384</x:v>
      </x:c>
      <x:c r="D5" s="24" t="n">
        <x:v>394</x:v>
      </x:c>
      <x:c r="E5" s="24" t="n">
        <x:v>429</x:v>
      </x:c>
      <x:c r="F5" s="24" t="n">
        <x:v>382</x:v>
      </x:c>
      <x:c r="G5" s="24" t="n">
        <x:v>458</x:v>
      </x:c>
      <x:c r="H5" s="24" t="n">
        <x:v>518</x:v>
      </x:c>
      <x:c r="I5" s="24" t="n">
        <x:v>196</x:v>
      </x:c>
      <x:c r="J5" s="24" t="n">
        <x:v>362</x:v>
      </x:c>
      <x:c r="K5" s="24" t="n">
        <x:v>323</x:v>
      </x:c>
      <x:c r="L5" s="24" t="n">
        <x:v>341</x:v>
      </x:c>
      <x:c r="M5" s="24" t="n">
        <x:v>351</x:v>
      </x:c>
      <x:c r="N5" s="24" t="n">
        <x:v>459</x:v>
      </x:c>
      <x:c r="O5" s="24" t="n">
        <x:v>619</x:v>
      </x:c>
    </x:row>
    <x:row r="6" ht="24" customHeight="1">
      <x:c r="A6" s="23" t="str">
        <x:v>推荐产品卡片点击数</x:v>
      </x:c>
      <x:c r="B6" s="24" t="n">
        <x:v>103</x:v>
      </x:c>
      <x:c r="C6" s="24" t="n">
        <x:v>95</x:v>
      </x:c>
      <x:c r="D6" s="24" t="n">
        <x:v>80</x:v>
      </x:c>
      <x:c r="E6" s="24" t="n">
        <x:v>105</x:v>
      </x:c>
      <x:c r="F6" s="24" t="n">
        <x:v>89</x:v>
      </x:c>
      <x:c r="G6" s="24" t="n">
        <x:v>120</x:v>
      </x:c>
      <x:c r="H6" s="24" t="n">
        <x:v>127</x:v>
      </x:c>
      <x:c r="I6" s="24" t="n">
        <x:v>59</x:v>
      </x:c>
      <x:c r="J6" s="24" t="n">
        <x:v>88</x:v>
      </x:c>
      <x:c r="K6" s="24" t="n">
        <x:v>74</x:v>
      </x:c>
      <x:c r="L6" s="24" t="n">
        <x:v>83</x:v>
      </x:c>
      <x:c r="M6" s="24" t="n">
        <x:v>71</x:v>
      </x:c>
      <x:c r="N6" s="24" t="n">
        <x:v>109</x:v>
      </x:c>
      <x:c r="O6" s="24" t="n">
        <x:v>137</x:v>
      </x:c>
    </x:row>
    <x:row r="7" ht="24" customHeight="1">
      <x:c r="A7" s="23" t="str">
        <x:v>推荐产品CTR</x:v>
      </x:c>
      <x:c r="B7" s="25" t="n">
        <x:f>IF(B5=0,"",B6/B5)</x:f>
        <x:v>0.2458233890214797</x:v>
      </x:c>
      <x:c r="C7" s="25" t="n">
        <x:f>IF(C5=0,"",C6/C5)</x:f>
        <x:v>0.24739583333333334</x:v>
      </x:c>
      <x:c r="D7" s="25" t="n">
        <x:f>IF(D5=0,"",D6/D5)</x:f>
        <x:v>0.20304568527918782</x:v>
      </x:c>
      <x:c r="E7" s="25" t="n">
        <x:f>IF(E5=0,"",E6/E5)</x:f>
        <x:v>0.24475524475524477</x:v>
      </x:c>
      <x:c r="F7" s="25" t="n">
        <x:f>IF(F5=0,"",F6/F5)</x:f>
        <x:v>0.23298429319371727</x:v>
      </x:c>
      <x:c r="G7" s="25" t="n">
        <x:f>IF(G5=0,"",G6/G5)</x:f>
        <x:v>0.26200873362445415</x:v>
      </x:c>
      <x:c r="H7" s="25" t="n">
        <x:f>IF(H5=0,"",H6/H5)</x:f>
        <x:v>0.24517374517374518</x:v>
      </x:c>
      <x:c r="I7" s="25" t="n">
        <x:f>IF(I5=0,"",I6/I5)</x:f>
        <x:v>0.3010204081632653</x:v>
      </x:c>
      <x:c r="J7" s="25" t="n">
        <x:f>IF(J5=0,"",J6/J5)</x:f>
        <x:v>0.2430939226519337</x:v>
      </x:c>
      <x:c r="K7" s="25" t="n">
        <x:f>IF(K5=0,"",K6/K5)</x:f>
        <x:v>0.22910216718266255</x:v>
      </x:c>
      <x:c r="L7" s="25" t="n">
        <x:f>IF(L5=0,"",L6/L5)</x:f>
        <x:v>0.2434017595307918</x:v>
      </x:c>
      <x:c r="M7" s="25" t="n">
        <x:f>IF(M5=0,"",M6/M5)</x:f>
        <x:v>0.2022792022792023</x:v>
      </x:c>
      <x:c r="N7" s="25" t="n">
        <x:f>IF(N5=0,"",N6/N5)</x:f>
        <x:v>0.2374727668845316</x:v>
      </x:c>
      <x:c r="O7" s="25" t="n">
        <x:f>IF(O5=0,"",O6/O5)</x:f>
        <x:v>0.22132471728594508</x:v>
      </x:c>
    </x:row>
    <x:row r="8" ht="24" customHeight="1">
      <x:c r="A8" s="26" t="str">
        <x:v>网站总线索数</x:v>
      </x:c>
      <x:c r="B8" s="27" t="n">
        <x:v>52</x:v>
      </x:c>
      <x:c r="C8" s="27" t="n">
        <x:v>53</x:v>
      </x:c>
      <x:c r="D8" s="27" t="n">
        <x:v>23</x:v>
      </x:c>
      <x:c r="E8" s="27" t="n">
        <x:v>7</x:v>
      </x:c>
      <x:c r="F8" s="27" t="n">
        <x:v>3</x:v>
      </x:c>
      <x:c r="G8" s="27" t="n">
        <x:v>10</x:v>
      </x:c>
      <x:c r="H8" s="27" t="n">
        <x:v>5</x:v>
      </x:c>
      <x:c r="I8" s="27" t="n">
        <x:v>9</x:v>
      </x:c>
      <x:c r="J8" s="27" t="n">
        <x:v>7</x:v>
      </x:c>
      <x:c r="K8" s="27" t="n">
        <x:v>5</x:v>
      </x:c>
      <x:c r="L8" s="27" t="n">
        <x:v>30</x:v>
      </x:c>
      <x:c r="M8" s="27" t="n">
        <x:v>10</x:v>
      </x:c>
      <x:c r="N8" s="27" t="n">
        <x:v>3</x:v>
      </x:c>
      <x:c r="O8" s="27" t="n">
        <x:v>7</x:v>
      </x:c>
    </x:row>
    <x:row r="9" ht="24" customHeight="1">
      <x:c r="A9" s="26" t="str">
        <x:v>AI产生线索数</x:v>
      </x:c>
      <x:c r="B9" s="27" t="n">
        <x:v>2</x:v>
      </x:c>
      <x:c r="C9" s="27" t="n">
        <x:v>1</x:v>
      </x:c>
      <x:c r="D9" s="27" t="n">
        <x:v>2</x:v>
      </x:c>
      <x:c r="E9" s="27" t="n">
        <x:v>0</x:v>
      </x:c>
      <x:c r="F9" s="27" t="n">
        <x:v>1</x:v>
      </x:c>
      <x:c r="G9" s="27" t="n">
        <x:v>5</x:v>
      </x:c>
      <x:c r="H9" s="27" t="n">
        <x:v>2</x:v>
      </x:c>
      <x:c r="I9" s="27" t="n">
        <x:v>0</x:v>
      </x:c>
      <x:c r="J9" s="27" t="n">
        <x:v>1</x:v>
      </x:c>
      <x:c r="K9" s="27" t="n">
        <x:v>2</x:v>
      </x:c>
      <x:c r="L9" s="27" t="n">
        <x:v>6</x:v>
      </x:c>
      <x:c r="M9" s="27" t="n">
        <x:v>1</x:v>
      </x:c>
      <x:c r="N9" s="27" t="n">
        <x:v>0</x:v>
      </x:c>
      <x:c r="O9" s="27" t="n">
        <x:v>3</x:v>
      </x:c>
    </x:row>
    <x:row r="10" ht="24" customHeight="1">
      <x:c r="A10" s="26" t="str">
        <x:v>AI线索贡献占比</x:v>
      </x:c>
      <x:c r="B10" s="28" t="n">
        <x:f>IF(B8=0,"",B9/B8)</x:f>
        <x:v>0.038461538461538464</x:v>
      </x:c>
      <x:c r="C10" s="28" t="n">
        <x:f>IF(C8=0,"",C9/C8)</x:f>
        <x:v>0.018867924528301886</x:v>
      </x:c>
      <x:c r="D10" s="28" t="n">
        <x:f>IF(D8=0,"",D9/D8)</x:f>
        <x:v>0.08695652173913043</x:v>
      </x:c>
      <x:c r="E10" s="28" t="n">
        <x:f>IF(E8=0,"",E9/E8)</x:f>
        <x:v>0</x:v>
      </x:c>
      <x:c r="F10" s="28" t="n">
        <x:f>IF(F8=0,"",F9/F8)</x:f>
        <x:v>0.3333333333333333</x:v>
      </x:c>
      <x:c r="G10" s="28" t="n">
        <x:f>IF(G8=0,"",G9/G8)</x:f>
        <x:v>0.5</x:v>
      </x:c>
      <x:c r="H10" s="28" t="n">
        <x:f>IF(H8=0,"",H9/H8)</x:f>
        <x:v>0.4</x:v>
      </x:c>
      <x:c r="I10" s="28" t="n">
        <x:f>IF(I8=0,"",I9/I8)</x:f>
        <x:v>0</x:v>
      </x:c>
      <x:c r="J10" s="28" t="n">
        <x:f>IF(J8=0,"",J9/J8)</x:f>
        <x:v>0.14285714285714285</x:v>
      </x:c>
      <x:c r="K10" s="28" t="n">
        <x:f>IF(K8=0,"",K9/K8)</x:f>
        <x:v>0.4</x:v>
      </x:c>
      <x:c r="L10" s="28" t="n">
        <x:f>IF(L8=0,"",L9/L8)</x:f>
        <x:v>0.2</x:v>
      </x:c>
      <x:c r="M10" s="28" t="n">
        <x:f>IF(M8=0,"",M9/M8)</x:f>
        <x:v>0.1</x:v>
      </x:c>
      <x:c r="N10" s="28" t="n">
        <x:f>IF(N8=0,"",N9/N8)</x:f>
        <x:v>0</x:v>
      </x:c>
      <x:c r="O10" s="28" t="n">
        <x:f>IF(O8=0,"",O9/O8)</x:f>
        <x:v>0.42857142857142855</x:v>
      </x:c>
    </x:row>
    <x:row r="11" ht="24" customHeight="1">
      <x:c r="A11" s="29" t="str">
        <x:v>网站总提交预审数</x:v>
      </x:c>
      <x:c r="B11" s="30" t="n">
        <x:v>8</x:v>
      </x:c>
      <x:c r="C11" s="30" t="n">
        <x:v>12</x:v>
      </x:c>
      <x:c r="D11" s="30" t="n">
        <x:v>7</x:v>
      </x:c>
      <x:c r="E11" s="30" t="n">
        <x:v>1</x:v>
      </x:c>
      <x:c r="F11" s="30" t="n">
        <x:v>1</x:v>
      </x:c>
      <x:c r="G11" s="30" t="n">
        <x:v>2</x:v>
      </x:c>
      <x:c r="H11" s="30" t="n">
        <x:v>1</x:v>
      </x:c>
      <x:c r="I11" s="30" t="n">
        <x:v>2</x:v>
      </x:c>
      <x:c r="J11" s="30" t="n">
        <x:v>2</x:v>
      </x:c>
      <x:c r="K11" s="30" t="n">
        <x:v>0</x:v>
      </x:c>
      <x:c r="L11" s="30" t="n">
        <x:v>0</x:v>
      </x:c>
      <x:c r="M11" s="30" t="n">
        <x:v>0</x:v>
      </x:c>
      <x:c r="N11" s="30" t="n">
        <x:v>0</x:v>
      </x:c>
      <x:c r="O11" s="30" t="n">
        <x:v>0</x:v>
      </x:c>
    </x:row>
    <x:row r="12" ht="24" customHeight="1">
      <x:c r="A12" s="29" t="str">
        <x:v>AI提交预审数</x:v>
      </x:c>
      <x:c r="B12" s="30" t="n">
        <x:v>0</x:v>
      </x:c>
      <x:c r="C12" s="30" t="n">
        <x:v>0</x:v>
      </x:c>
      <x:c r="D12" s="30" t="n">
        <x:v>0</x:v>
      </x:c>
      <x:c r="E12" s="30" t="n">
        <x:v>0</x:v>
      </x:c>
      <x:c r="F12" s="30" t="n">
        <x:v>0</x:v>
      </x:c>
      <x:c r="G12" s="30" t="n">
        <x:v>0</x:v>
      </x:c>
      <x:c r="H12" s="30" t="n">
        <x:v>0</x:v>
      </x:c>
      <x:c r="I12" s="30" t="n">
        <x:v>0</x:v>
      </x:c>
      <x:c r="J12" s="30" t="n">
        <x:v>0</x:v>
      </x:c>
      <x:c r="K12" s="30" t="n">
        <x:v>0</x:v>
      </x:c>
      <x:c r="L12" s="30" t="n">
        <x:v>0</x:v>
      </x:c>
      <x:c r="M12" s="30" t="n">
        <x:v>0</x:v>
      </x:c>
      <x:c r="N12" s="30" t="n">
        <x:v>0</x:v>
      </x:c>
      <x:c r="O12" s="30" t="n">
        <x:v>0</x:v>
      </x:c>
    </x:row>
    <x:row r="13" ht="24" customHeight="1">
      <x:c r="A13" s="29" t="str">
        <x:v>AI提交预审占比</x:v>
      </x:c>
      <x:c r="B13" s="31" t="n">
        <x:f>IF(B11=0,"",B12/B11)</x:f>
        <x:v>0</x:v>
      </x:c>
      <x:c r="C13" s="31" t="n">
        <x:f>IF(C11=0,"",C12/C11)</x:f>
        <x:v>0</x:v>
      </x:c>
      <x:c r="D13" s="31" t="n">
        <x:f>IF(D11=0,"",D12/D11)</x:f>
        <x:v>0</x:v>
      </x:c>
      <x:c r="E13" s="31" t="n">
        <x:f>IF(E11=0,"",E12/E11)</x:f>
        <x:v>0</x:v>
      </x:c>
      <x:c r="F13" s="31" t="n">
        <x:f>IF(F11=0,"",F12/F11)</x:f>
        <x:v>0</x:v>
      </x:c>
      <x:c r="G13" s="31" t="n">
        <x:f>IF(G11=0,"",G12/G11)</x:f>
        <x:v>0</x:v>
      </x:c>
      <x:c r="H13" s="31" t="n">
        <x:f>IF(H11=0,"",H12/H11)</x:f>
        <x:v>0</x:v>
      </x:c>
      <x:c r="I13" s="31" t="n">
        <x:f>IF(I11=0,"",I12/I11)</x:f>
        <x:v>0</x:v>
      </x:c>
      <x:c r="J13" s="31" t="n">
        <x:f>IF(J11=0,"",J12/J11)</x:f>
        <x:v>0</x:v>
      </x:c>
      <x:c r="K13" s="31" t="str">
        <x:f>IF(K11=0,"",K12/K11)</x:f>
      </x:c>
      <x:c r="L13" s="31" t="str">
        <x:f>IF(L11=0,"",L12/L11)</x:f>
      </x:c>
      <x:c r="M13" s="31" t="str">
        <x:f>IF(M11=0,"",M12/M11)</x:f>
      </x:c>
      <x:c r="N13" s="31" t="str">
        <x:f>IF(N11=0,"",N12/N11)</x:f>
      </x:c>
      <x:c r="O13" s="31" t="str">
        <x:f>IF(O11=0,"",O12/O11)</x:f>
      </x:c>
    </x:row>
    <x:row r="14" ht="24" customHeight="1">
      <x:c r="A14" s="29" t="str">
        <x:v>网站预审通过数</x:v>
      </x:c>
      <x:c r="B14" s="30" t="n">
        <x:v>1</x:v>
      </x:c>
      <x:c r="C14" s="30" t="n">
        <x:v>7</x:v>
      </x:c>
      <x:c r="D14" s="30" t="n">
        <x:v>2</x:v>
      </x:c>
      <x:c r="E14" s="30" t="n">
        <x:v>1</x:v>
      </x:c>
      <x:c r="F14" s="30" t="n">
        <x:v>0</x:v>
      </x:c>
      <x:c r="G14" s="30" t="n">
        <x:v>1</x:v>
      </x:c>
      <x:c r="H14" s="30" t="n">
        <x:v>0</x:v>
      </x:c>
      <x:c r="I14" s="30" t="n">
        <x:v>0</x:v>
      </x:c>
      <x:c r="J14" s="30" t="n">
        <x:v>1</x:v>
      </x:c>
      <x:c r="K14" s="30" t="n">
        <x:v>0</x:v>
      </x:c>
      <x:c r="L14" s="30" t="n">
        <x:v>0</x:v>
      </x:c>
      <x:c r="M14" s="30" t="n">
        <x:v>0</x:v>
      </x:c>
      <x:c r="N14" s="30" t="n">
        <x:v>0</x:v>
      </x:c>
      <x:c r="O14" s="30" t="n">
        <x:v>0</x:v>
      </x:c>
    </x:row>
    <x:row r="15" ht="24" customHeight="1">
      <x:c r="A15" s="29" t="str">
        <x:v>AI预审通过数</x:v>
      </x:c>
      <x:c r="B15" s="30" t="n">
        <x:v>0</x:v>
      </x:c>
      <x:c r="C15" s="30" t="n">
        <x:v>0</x:v>
      </x:c>
      <x:c r="D15" s="30" t="n">
        <x:v>0</x:v>
      </x:c>
      <x:c r="E15" s="30" t="n">
        <x:v>0</x:v>
      </x:c>
      <x:c r="F15" s="30" t="n">
        <x:v>0</x:v>
      </x:c>
      <x:c r="G15" s="30" t="n">
        <x:v>0</x:v>
      </x:c>
      <x:c r="H15" s="30" t="n">
        <x:v>0</x:v>
      </x:c>
      <x:c r="I15" s="30" t="n">
        <x:v>0</x:v>
      </x:c>
      <x:c r="J15" s="30" t="n">
        <x:v>0</x:v>
      </x:c>
      <x:c r="K15" s="30" t="n">
        <x:v>0</x:v>
      </x:c>
      <x:c r="L15" s="30" t="n">
        <x:v>0</x:v>
      </x:c>
      <x:c r="M15" s="30" t="n">
        <x:v>0</x:v>
      </x:c>
      <x:c r="N15" s="30" t="n">
        <x:v>0</x:v>
      </x:c>
      <x:c r="O15" s="30" t="n">
        <x:v>0</x:v>
      </x:c>
    </x:row>
    <x:row r="16" ht="24" customHeight="1">
      <x:c r="A16" s="29" t="str">
        <x:v>AI通过预审占比</x:v>
      </x:c>
      <x:c r="B16" s="31" t="n">
        <x:f>IF(B14=0,"",B15/B14)</x:f>
        <x:v>0</x:v>
      </x:c>
      <x:c r="C16" s="31" t="n">
        <x:f>IF(C14=0,"",C15/C14)</x:f>
        <x:v>0</x:v>
      </x:c>
      <x:c r="D16" s="31" t="n">
        <x:f>IF(D14=0,"",D15/D14)</x:f>
        <x:v>0</x:v>
      </x:c>
      <x:c r="E16" s="31" t="n">
        <x:f>IF(E14=0,"",E15/E14)</x:f>
        <x:v>0</x:v>
      </x:c>
      <x:c r="F16" s="31" t="str">
        <x:f>IF(F14=0,"",F15/F14)</x:f>
      </x:c>
      <x:c r="G16" s="31" t="n">
        <x:f>IF(G14=0,"",G15/G14)</x:f>
        <x:v>0</x:v>
      </x:c>
      <x:c r="H16" s="31" t="str">
        <x:f>IF(H14=0,"",H15/H14)</x:f>
      </x:c>
      <x:c r="I16" s="31" t="str">
        <x:f>IF(I14=0,"",I15/I14)</x:f>
      </x:c>
      <x:c r="J16" s="31" t="n">
        <x:f>IF(J14=0,"",J15/J14)</x:f>
        <x:v>0</x:v>
      </x:c>
      <x:c r="K16" s="31" t="str">
        <x:f>IF(K14=0,"",K15/K14)</x:f>
      </x:c>
      <x:c r="L16" s="31" t="str">
        <x:f>IF(L14=0,"",L15/L14)</x:f>
      </x:c>
      <x:c r="M16" s="31" t="str">
        <x:f>IF(M14=0,"",M15/M14)</x:f>
      </x:c>
      <x:c r="N16" s="31" t="str">
        <x:f>IF(N14=0,"",N15/N14)</x:f>
      </x:c>
      <x:c r="O16" s="31" t="str">
        <x:f>IF(O14=0,"",O15/O14)</x:f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30" customHeight="1">
      <x:c r="A1" s="14" t="str">
        <x:v>Date</x:v>
      </x:c>
      <x:c r="B1" s="19" t="n">
        <x:v>46216</x:v>
      </x:c>
      <x:c r="C1" s="19" t="n">
        <x:v>46217</x:v>
      </x:c>
      <x:c r="D1" s="19" t="n">
        <x:v>46218</x:v>
      </x:c>
      <x:c r="E1" s="19" t="n">
        <x:v>46219</x:v>
      </x:c>
      <x:c r="F1" s="19" t="n">
        <x:v>46220</x:v>
      </x:c>
      <x:c r="G1" s="19" t="n">
        <x:v>46221</x:v>
      </x:c>
      <x:c r="H1" s="19" t="n">
        <x:v>46222</x:v>
      </x:c>
      <x:c r="I1" s="19" t="n">
        <x:v>46223</x:v>
      </x:c>
      <x:c r="J1" s="19" t="n">
        <x:v>46224</x:v>
      </x:c>
      <x:c r="K1" s="19" t="n">
        <x:v>46225</x:v>
      </x:c>
      <x:c r="L1" s="19" t="n">
        <x:v>46226</x:v>
      </x:c>
      <x:c r="M1" s="19" t="n">
        <x:v>46227</x:v>
      </x:c>
      <x:c r="N1" s="19" t="n">
        <x:v>46228</x:v>
      </x:c>
      <x:c r="O1" s="19" t="n">
        <x:v>46229</x:v>
      </x:c>
    </x:row>
    <x:row r="2" ht="24" customHeight="1">
      <x:c r="A2" s="23" t="str">
        <x:v>推荐金融产品卡片曝光数</x:v>
      </x:c>
      <x:c r="B2" s="24" t="n">
        <x:v>416</x:v>
      </x:c>
      <x:c r="C2" s="24" t="n">
        <x:v>380</x:v>
      </x:c>
      <x:c r="D2" s="24" t="n">
        <x:v>385</x:v>
      </x:c>
      <x:c r="E2" s="24" t="n">
        <x:v>426</x:v>
      </x:c>
      <x:c r="F2" s="24" t="n">
        <x:v>374</x:v>
      </x:c>
      <x:c r="G2" s="24" t="n">
        <x:v>453</x:v>
      </x:c>
      <x:c r="H2" s="24" t="n">
        <x:v>513</x:v>
      </x:c>
      <x:c r="I2" s="24" t="n">
        <x:v>188</x:v>
      </x:c>
      <x:c r="J2" s="24" t="n">
        <x:v>356</x:v>
      </x:c>
      <x:c r="K2" s="24" t="n">
        <x:v>313</x:v>
      </x:c>
      <x:c r="L2" s="24" t="n">
        <x:v>330</x:v>
      </x:c>
      <x:c r="M2" s="24" t="n">
        <x:v>346</x:v>
      </x:c>
      <x:c r="N2" s="24" t="n">
        <x:v>451</x:v>
      </x:c>
      <x:c r="O2" s="24" t="n">
        <x:v>605</x:v>
      </x:c>
    </x:row>
    <x:row r="3" ht="24" customHeight="1">
      <x:c r="A3" s="23" t="str">
        <x:v>推荐金融产品卡片点击数</x:v>
      </x:c>
      <x:c r="B3" s="24" t="n">
        <x:v>101</x:v>
      </x:c>
      <x:c r="C3" s="24" t="n">
        <x:v>95</x:v>
      </x:c>
      <x:c r="D3" s="24" t="n">
        <x:v>74</x:v>
      </x:c>
      <x:c r="E3" s="24" t="n">
        <x:v>104</x:v>
      </x:c>
      <x:c r="F3" s="24" t="n">
        <x:v>87</x:v>
      </x:c>
      <x:c r="G3" s="24" t="n">
        <x:v>118</x:v>
      </x:c>
      <x:c r="H3" s="24" t="n">
        <x:v>126</x:v>
      </x:c>
      <x:c r="I3" s="24" t="n">
        <x:v>55</x:v>
      </x:c>
      <x:c r="J3" s="24" t="n">
        <x:v>87</x:v>
      </x:c>
      <x:c r="K3" s="24" t="n">
        <x:v>70</x:v>
      </x:c>
      <x:c r="L3" s="24" t="n">
        <x:v>81</x:v>
      </x:c>
      <x:c r="M3" s="24" t="n">
        <x:v>71</x:v>
      </x:c>
      <x:c r="N3" s="24" t="n">
        <x:v>105</x:v>
      </x:c>
      <x:c r="O3" s="24" t="n">
        <x:v>134</x:v>
      </x:c>
    </x:row>
    <x:row r="4" ht="24" customHeight="1">
      <x:c r="A4" s="23" t="str">
        <x:v>推荐金融产品卡片CTR</x:v>
      </x:c>
      <x:c r="B4" s="25" t="n">
        <x:f>IF(B2=0,"",B3/B2)</x:f>
        <x:v>0.24278846153846154</x:v>
      </x:c>
      <x:c r="C4" s="25" t="n">
        <x:f>IF(C2=0,"",C3/C2)</x:f>
        <x:v>0.25</x:v>
      </x:c>
      <x:c r="D4" s="25" t="n">
        <x:f>IF(D2=0,"",D3/D2)</x:f>
        <x:v>0.19220779220779222</x:v>
      </x:c>
      <x:c r="E4" s="25" t="n">
        <x:f>IF(E2=0,"",E3/E2)</x:f>
        <x:v>0.24413145539906103</x:v>
      </x:c>
      <x:c r="F4" s="25" t="n">
        <x:f>IF(F2=0,"",F3/F2)</x:f>
        <x:v>0.232620320855615</x:v>
      </x:c>
      <x:c r="G4" s="25" t="n">
        <x:f>IF(G2=0,"",G3/G2)</x:f>
        <x:v>0.26048565121412803</x:v>
      </x:c>
      <x:c r="H4" s="25" t="n">
        <x:f>IF(H2=0,"",H3/H2)</x:f>
        <x:v>0.24561403508771928</x:v>
      </x:c>
      <x:c r="I4" s="25" t="n">
        <x:f>IF(I2=0,"",I3/I2)</x:f>
        <x:v>0.2925531914893617</x:v>
      </x:c>
      <x:c r="J4" s="25" t="n">
        <x:f>IF(J2=0,"",J3/J2)</x:f>
        <x:v>0.2443820224719101</x:v>
      </x:c>
      <x:c r="K4" s="25" t="n">
        <x:f>IF(K2=0,"",K3/K2)</x:f>
        <x:v>0.22364217252396165</x:v>
      </x:c>
      <x:c r="L4" s="25" t="n">
        <x:f>IF(L2=0,"",L3/L2)</x:f>
        <x:v>0.24545454545454545</x:v>
      </x:c>
      <x:c r="M4" s="25" t="n">
        <x:f>IF(M2=0,"",M3/M2)</x:f>
        <x:v>0.20520231213872833</x:v>
      </x:c>
      <x:c r="N4" s="25" t="n">
        <x:f>IF(N2=0,"",N3/N2)</x:f>
        <x:v>0.2328159645232816</x:v>
      </x:c>
      <x:c r="O4" s="25" t="n">
        <x:f>IF(O2=0,"",O3/O2)</x:f>
        <x:v>0.22148760330578512</x:v>
      </x:c>
    </x:row>
    <x:row r="5" ht="24" customHeight="1">
      <x:c r="A5" s="20" t="str">
        <x:v>推荐车系产品卡片曝光数</x:v>
      </x:c>
      <x:c r="B5" s="21" t="n">
        <x:v>3</x:v>
      </x:c>
      <x:c r="C5" s="21" t="n">
        <x:v>4</x:v>
      </x:c>
      <x:c r="D5" s="21" t="n">
        <x:v>9</x:v>
      </x:c>
      <x:c r="E5" s="21" t="n">
        <x:v>3</x:v>
      </x:c>
      <x:c r="F5" s="21" t="n">
        <x:v>8</x:v>
      </x:c>
      <x:c r="G5" s="21" t="n">
        <x:v>5</x:v>
      </x:c>
      <x:c r="H5" s="21" t="n">
        <x:v>5</x:v>
      </x:c>
      <x:c r="I5" s="21" t="n">
        <x:v>8</x:v>
      </x:c>
      <x:c r="J5" s="21" t="n">
        <x:v>6</x:v>
      </x:c>
      <x:c r="K5" s="21" t="n">
        <x:v>10</x:v>
      </x:c>
      <x:c r="L5" s="21" t="n">
        <x:v>11</x:v>
      </x:c>
      <x:c r="M5" s="21" t="n">
        <x:v>5</x:v>
      </x:c>
      <x:c r="N5" s="21" t="n">
        <x:v>8</x:v>
      </x:c>
      <x:c r="O5" s="21" t="n">
        <x:v>14</x:v>
      </x:c>
    </x:row>
    <x:row r="6" ht="24" customHeight="1">
      <x:c r="A6" s="20" t="str">
        <x:v>推荐车系产品卡片点击数</x:v>
      </x:c>
      <x:c r="B6" s="21" t="n">
        <x:v>2</x:v>
      </x:c>
      <x:c r="C6" s="21" t="n">
        <x:v>0</x:v>
      </x:c>
      <x:c r="D6" s="21" t="n">
        <x:v>6</x:v>
      </x:c>
      <x:c r="E6" s="21" t="n">
        <x:v>1</x:v>
      </x:c>
      <x:c r="F6" s="21" t="n">
        <x:v>2</x:v>
      </x:c>
      <x:c r="G6" s="21" t="n">
        <x:v>2</x:v>
      </x:c>
      <x:c r="H6" s="21" t="n">
        <x:v>1</x:v>
      </x:c>
      <x:c r="I6" s="21" t="n">
        <x:v>4</x:v>
      </x:c>
      <x:c r="J6" s="21" t="n">
        <x:v>1</x:v>
      </x:c>
      <x:c r="K6" s="21" t="n">
        <x:v>4</x:v>
      </x:c>
      <x:c r="L6" s="21" t="n">
        <x:v>2</x:v>
      </x:c>
      <x:c r="M6" s="21" t="n">
        <x:v>0</x:v>
      </x:c>
      <x:c r="N6" s="21" t="n">
        <x:v>4</x:v>
      </x:c>
      <x:c r="O6" s="21" t="n">
        <x:v>3</x:v>
      </x:c>
    </x:row>
    <x:row r="7" ht="24" customHeight="1">
      <x:c r="A7" s="20" t="str">
        <x:v>推荐车系卡片CTR</x:v>
      </x:c>
      <x:c r="B7" s="22" t="n">
        <x:f>IF(B5=0,"",B6/B5)</x:f>
        <x:v>0.6666666666666666</x:v>
      </x:c>
      <x:c r="C7" s="22" t="n">
        <x:f>IF(C5=0,"",C6/C5)</x:f>
        <x:v>0</x:v>
      </x:c>
      <x:c r="D7" s="22" t="n">
        <x:f>IF(D5=0,"",D6/D5)</x:f>
        <x:v>0.6666666666666666</x:v>
      </x:c>
      <x:c r="E7" s="22" t="n">
        <x:f>IF(E5=0,"",E6/E5)</x:f>
        <x:v>0.3333333333333333</x:v>
      </x:c>
      <x:c r="F7" s="22" t="n">
        <x:f>IF(F5=0,"",F6/F5)</x:f>
        <x:v>0.25</x:v>
      </x:c>
      <x:c r="G7" s="22" t="n">
        <x:f>IF(G5=0,"",G6/G5)</x:f>
        <x:v>0.4</x:v>
      </x:c>
      <x:c r="H7" s="22" t="n">
        <x:f>IF(H5=0,"",H6/H5)</x:f>
        <x:v>0.2</x:v>
      </x:c>
      <x:c r="I7" s="22" t="n">
        <x:f>IF(I5=0,"",I6/I5)</x:f>
        <x:v>0.5</x:v>
      </x:c>
      <x:c r="J7" s="22" t="n">
        <x:f>IF(J5=0,"",J6/J5)</x:f>
        <x:v>0.16666666666666666</x:v>
      </x:c>
      <x:c r="K7" s="22" t="n">
        <x:f>IF(K5=0,"",K6/K5)</x:f>
        <x:v>0.4</x:v>
      </x:c>
      <x:c r="L7" s="22" t="n">
        <x:f>IF(L5=0,"",L6/L5)</x:f>
        <x:v>0.18181818181818182</x:v>
      </x:c>
      <x:c r="M7" s="22" t="n">
        <x:f>IF(M5=0,"",M6/M5)</x:f>
        <x:v>0</x:v>
      </x:c>
      <x:c r="N7" s="22" t="n">
        <x:f>IF(N5=0,"",N6/N5)</x:f>
        <x:v>0.5</x:v>
      </x:c>
      <x:c r="O7" s="22" t="n">
        <x:f>IF(O5=0,"",O6/O5)</x:f>
        <x:v>0.21428571428571427</x:v>
      </x:c>
    </x:row>
  </x:sheetData>
  <x:pageMargins left="0.7" right="0.7" top="0.75" bottom="0.75" header="0.3" footer="0.3"/>
</x:worksheet>
</file>